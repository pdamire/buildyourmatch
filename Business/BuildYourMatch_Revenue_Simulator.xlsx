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<sst xmlns="http://schemas.openxmlformats.org/spreadsheetml/2006/main" count="33" uniqueCount="33">
  <si>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Metric</t>
  </si>
  <si>
    <t>Default Value</t>
  </si>
  <si>
    <t>Description</t>
  </si>
  <si>
    <t>Active Users</t>
  </si>
  <si>
    <t>% Paying Users</t>
  </si>
  <si>
    <t>Avg Purchase per Paying User ($)</t>
  </si>
  <si>
    <t>App Store Fee (%)</t>
  </si>
  <si>
    <t>Supabase Monthly Cost ($)</t>
  </si>
  <si>
    <t>Backend/Storage/AI Cost ($)</t>
  </si>
  <si>
    <t>Total Paying Users</t>
  </si>
  <si>
    <t>Gross Monthly Revenue ($)</t>
  </si>
  <si>
    <t>App Store Fees ($)</t>
  </si>
  <si>
    <t>Net Revenue ($)</t>
  </si>
  <si>
    <t>Total Monthly Costs ($)</t>
  </si>
  <si>
    <t>Net Profit ($)</t>
  </si>
  <si>
    <t>Profit per Active User ($)</t>
  </si>
  <si>
    <t>Breakeven Active Users</t>
  </si>
  <si>
    <t>5%</t>
  </si>
  <si>
    <t>30%</t>
  </si>
  <si>
    <t>Total monthly active users</t>
  </si>
  <si>
    <t>Percentage of active users who make purchases</t>
  </si>
  <si>
    <t>Average amount spent per paying user</t>
  </si>
  <si>
    <t>App store/marketplace fee percentage</t>
  </si>
  <si>
    <t>Supabase backend plan cost</t>
  </si>
  <si>
    <t>Other backend/media/AI costs per month</t>
  </si>
  <si>
    <t>Auto-calculated: # of paying users</t>
  </si>
  <si>
    <t>Auto-calculated: Total gross revenue from all paying users</t>
  </si>
  <si>
    <t>Auto-calculated: Store fees (30%)</t>
  </si>
  <si>
    <t>Auto-calculated: Net revenue after store fee</t>
  </si>
  <si>
    <t>Auto-calculated: Total backend costs</t>
  </si>
  <si>
    <t>Auto-calculated: Profit after all costs</t>
  </si>
  <si>
    <t>Auto-calculated: Profit per active user</t>
  </si>
  <si>
    <t>Auto-calculated: # users needed to break even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</si>
</sst>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 t="s">
        <v>19</v>
      </c>
    </row>
    <row r="3" spans="1:3">
      <c r="A3" t="s">
        <v>4</v>
      </c>
      <c r="B3" t="s">
        <v>17</v>
      </c>
      <c r="C3" t="s">
        <v>20</v>
      </c>
    </row>
    <row r="4" spans="1:3">
      <c r="A4" t="s">
        <v>5</v>
      </c>
      <c r="B4">
        <v>2.5</v>
      </c>
      <c r="C4" t="s">
        <v>21</v>
      </c>
    </row>
    <row r="5" spans="1:3">
      <c r="A5" t="s">
        <v>6</v>
      </c>
      <c r="B5" t="s">
        <v>18</v>
      </c>
      <c r="C5" t="s">
        <v>22</v>
      </c>
    </row>
    <row r="6" spans="1:3">
      <c r="A6" t="s">
        <v>7</v>
      </c>
      <c r="B6">
        <v>25</v>
      </c>
      <c r="C6" t="s">
        <v>23</v>
      </c>
    </row>
    <row r="7" spans="1:3">
      <c r="A7" t="s">
        <v>8</v>
      </c>
      <c r="B7">
        <v>25</v>
      </c>
      <c r="C7" t="s">
        <v>24</v>
      </c>
    </row>
    <row r="8" spans="1:3">
      <c r="A8" t="s">
        <v>9</v>
      </c>
      <c r="B8">
        <f>A2*(B2/100)</f>
        <v>0</v>
      </c>
      <c r="C8" t="s">
        <v>25</v>
      </c>
    </row>
    <row r="9" spans="1:3">
      <c r="A9" t="s">
        <v>10</v>
      </c>
      <c r="B9">
        <f>C2*(A2*(B2/100))</f>
        <v>0</v>
      </c>
      <c r="C9" t="s">
        <v>26</v>
      </c>
    </row>
    <row r="10" spans="1:3">
      <c r="A10" t="s">
        <v>11</v>
      </c>
      <c r="B10">
        <f>D2/100*H2</f>
        <v>0</v>
      </c>
      <c r="C10" t="s">
        <v>27</v>
      </c>
    </row>
    <row r="11" spans="1:3">
      <c r="A11" t="s">
        <v>12</v>
      </c>
      <c r="B11">
        <f>H2-I2</f>
        <v>0</v>
      </c>
      <c r="C11" t="s">
        <v>28</v>
      </c>
    </row>
    <row r="12" spans="1:3">
      <c r="A12" t="s">
        <v>13</v>
      </c>
      <c r="B12">
        <f>E2+F2</f>
        <v>0</v>
      </c>
      <c r="C12" t="s">
        <v>29</v>
      </c>
    </row>
    <row r="13" spans="1:3">
      <c r="A13" t="s">
        <v>14</v>
      </c>
      <c r="B13">
        <f>J2-K2</f>
        <v>0</v>
      </c>
      <c r="C13" t="s">
        <v>30</v>
      </c>
    </row>
    <row r="14" spans="1:3">
      <c r="A14" t="s">
        <v>15</v>
      </c>
      <c r="B14">
        <f>L2/A2</f>
        <v>0</v>
      </c>
      <c r="C14" t="s">
        <v>31</v>
      </c>
    </row>
    <row r="15" spans="1:3">
      <c r="A15" t="s">
        <v>16</v>
      </c>
      <c r="B15">
        <f>K2/(C2*(B2/100)-((D2/100)*C2*(B2/100)))</f>
        <v>0</v>
      </c>
      <c r="C1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2025-10-22T05:44:19Z</dcterms:created>
  <dcterms:modified xsi:type="dcterms:W3CDTF">2025-10-22T05:44:19Z</dcterms:modified>
</cp:coreProperties>
</file>