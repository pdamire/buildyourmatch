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odel" sheetId="2" r:id="rId2"/>
    <sheet name="Scenarios" sheetId="3" r:id="rId3"/>
  </sheets>
  <calcPr calcId="124519" fullCalcOnLoad="1"/>
</workbook>
</file>

<file path=xl/sharedStrings.xml><?xml version="1.0" encoding="utf-8"?>
<sst xmlns="http://schemas.openxmlformats.org/spreadsheetml/2006/main" count="49" uniqueCount="40">
  <si>
    <t>Metric</t>
  </si>
  <si>
    <t>Value</t>
  </si>
  <si>
    <t>Notes</t>
  </si>
  <si>
    <t>Active Users</t>
  </si>
  <si>
    <t>% Paying Users</t>
  </si>
  <si>
    <t>Avg Purchase per Paying User ($)</t>
  </si>
  <si>
    <t>App Store Fee (%)</t>
  </si>
  <si>
    <t>Supabase Monthly Cost ($)</t>
  </si>
  <si>
    <t>Backend/Storage/AI Cost ($)</t>
  </si>
  <si>
    <t>Dice Rolls / Day (info)</t>
  </si>
  <si>
    <t>Avg Points per Roll (info)</t>
  </si>
  <si>
    <t>Game Points per Day (info)</t>
  </si>
  <si>
    <t>Photo Unlock Cost (pts) (info)</t>
  </si>
  <si>
    <t>Video Unlock Cost (pts) (info)</t>
  </si>
  <si>
    <t>Monthly Active Users</t>
  </si>
  <si>
    <t>Decimal (e.g., 0.05 = 5%)</t>
  </si>
  <si>
    <t>Dollars per paying user / month</t>
  </si>
  <si>
    <t>Decimal (e.g., 0.30 = 30%)</t>
  </si>
  <si>
    <t>Base backend plan</t>
  </si>
  <si>
    <t>Other infra per month</t>
  </si>
  <si>
    <t>Not used in revenue; context for economy</t>
  </si>
  <si>
    <t>Output</t>
  </si>
  <si>
    <t>Formula / Value</t>
  </si>
  <si>
    <t>Description</t>
  </si>
  <si>
    <t>Total Paying Users</t>
  </si>
  <si>
    <t># users * % paying</t>
  </si>
  <si>
    <t>Gross Monthly Revenue ($)</t>
  </si>
  <si>
    <t>Avg purchase * Paying users</t>
  </si>
  <si>
    <t>App Store Fees ($)</t>
  </si>
  <si>
    <t>Store fee * Gross revenue</t>
  </si>
  <si>
    <t>Net Revenue ($)</t>
  </si>
  <si>
    <t>Gross - Store Fees</t>
  </si>
  <si>
    <t>Total Monthly Costs ($)</t>
  </si>
  <si>
    <t>Supabase + Other backend</t>
  </si>
  <si>
    <t>Net Profit ($)</t>
  </si>
  <si>
    <t>Net Revenue - Total Costs</t>
  </si>
  <si>
    <t>Profit per Active User ($)</t>
  </si>
  <si>
    <t>Net Profit / Active Users</t>
  </si>
  <si>
    <t>Breakeven Active Users</t>
  </si>
  <si>
    <t>Users needed to cover costs (approx)</t>
  </si>
</sst>
</file>

<file path=xl/styles.xml><?xml version="1.0" encoding="utf-8"?>
<styleSheet xmlns="http://schemas.openxmlformats.org/spreadsheetml/2006/main">
  <numFmts count="2">
    <numFmt numFmtId="164" formatCode="0%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Net Profit vs Active Users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Net Profit</c:v>
          </c:tx>
          <c:marker>
            <c:symbol val="none"/>
          </c:marker>
          <c:cat>
            <c:numRef>
              <c:f>Scenarios!$A$2:$A$101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Scenarios!$B$2:$B$101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Active Users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Net Profit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13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4.7109375" customWidth="1"/>
    <col min="2" max="2" width="18.7109375" customWidth="1"/>
    <col min="3" max="3" width="64.7109375" customWidth="1"/>
  </cols>
  <sheetData>
    <row r="1" spans="1:3">
      <c r="A1" t="s">
        <v>0</v>
      </c>
      <c r="B1" t="s">
        <v>1</v>
      </c>
      <c r="C1" t="s">
        <v>2</v>
      </c>
    </row>
    <row r="2" spans="1:3" s="1" customFormat="1">
      <c r="A2" s="1" t="s">
        <v>3</v>
      </c>
      <c r="B2" s="1">
        <v>1000</v>
      </c>
      <c r="C2" s="1" t="s">
        <v>14</v>
      </c>
    </row>
    <row r="3" spans="1:3" s="2" customFormat="1">
      <c r="A3" s="2" t="s">
        <v>4</v>
      </c>
      <c r="B3" s="2">
        <v>0.05</v>
      </c>
      <c r="C3" s="2" t="s">
        <v>15</v>
      </c>
    </row>
    <row r="4" spans="1:3" s="3" customFormat="1">
      <c r="A4" s="3" t="s">
        <v>5</v>
      </c>
      <c r="B4" s="3">
        <v>2.5</v>
      </c>
      <c r="C4" s="3" t="s">
        <v>16</v>
      </c>
    </row>
    <row r="5" spans="1:3" s="2" customFormat="1">
      <c r="A5" s="2" t="s">
        <v>6</v>
      </c>
      <c r="B5" s="2">
        <v>0.3</v>
      </c>
      <c r="C5" s="2" t="s">
        <v>17</v>
      </c>
    </row>
    <row r="6" spans="1:3" s="3" customFormat="1">
      <c r="A6" s="3" t="s">
        <v>7</v>
      </c>
      <c r="B6" s="3">
        <v>25</v>
      </c>
      <c r="C6" s="3" t="s">
        <v>18</v>
      </c>
    </row>
    <row r="7" spans="1:3" s="3" customFormat="1">
      <c r="A7" s="3" t="s">
        <v>8</v>
      </c>
      <c r="B7" s="3">
        <v>25</v>
      </c>
      <c r="C7" s="3" t="s">
        <v>19</v>
      </c>
    </row>
    <row r="8" spans="1:3">
      <c r="A8" t="s">
        <v>9</v>
      </c>
      <c r="B8">
        <v>3</v>
      </c>
      <c r="C8" t="s">
        <v>20</v>
      </c>
    </row>
    <row r="9" spans="1:3">
      <c r="A9" t="s">
        <v>10</v>
      </c>
      <c r="B9">
        <v>3.5</v>
      </c>
      <c r="C9" t="s">
        <v>20</v>
      </c>
    </row>
    <row r="10" spans="1:3">
      <c r="A10" t="s">
        <v>11</v>
      </c>
      <c r="B10">
        <v>5</v>
      </c>
      <c r="C10" t="s">
        <v>20</v>
      </c>
    </row>
    <row r="11" spans="1:3">
      <c r="A11" t="s">
        <v>12</v>
      </c>
      <c r="B11">
        <v>25</v>
      </c>
      <c r="C11" t="s">
        <v>20</v>
      </c>
    </row>
    <row r="12" spans="1:3">
      <c r="A12" t="s">
        <v>13</v>
      </c>
      <c r="B12">
        <v>60</v>
      </c>
      <c r="C12" t="s">
        <v>20</v>
      </c>
    </row>
  </sheetData>
  <dataValidations count="6">
    <dataValidation type="whole" operator="greaterThan" allowBlank="1" showInputMessage="1" showErrorMessage="1" sqref="B2">
      <formula1>0</formula1>
    </dataValidation>
    <dataValidation type="decimal" allowBlank="1" showInputMessage="1" showErrorMessage="1" sqref="B3">
      <formula1>0</formula1>
      <formula2>1</formula2>
    </dataValidation>
    <dataValidation type="decimal" allowBlank="1" showInputMessage="1" showErrorMessage="1" sqref="B4">
      <formula1>0</formula1>
      <formula2>1000</formula2>
    </dataValidation>
    <dataValidation type="decimal" allowBlank="1" showInputMessage="1" showErrorMessage="1" sqref="B5">
      <formula1>0</formula1>
      <formula2>1</formula2>
    </dataValidation>
    <dataValidation type="decimal" allowBlank="1" showInputMessage="1" showErrorMessage="1" sqref="B6">
      <formula1>0</formula1>
      <formula2>10000</formula2>
    </dataValidation>
    <dataValidation type="decimal" allowBlank="1" showInputMessage="1" showErrorMessage="1" sqref="B7">
      <formula1>0</formula1>
      <formula2>10000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30.7109375" customWidth="1"/>
    <col min="2" max="2" width="26.7109375" customWidth="1"/>
    <col min="3" max="3" width="60.7109375" customWidth="1"/>
  </cols>
  <sheetData>
    <row r="1" spans="1:3">
      <c r="A1" t="s">
        <v>21</v>
      </c>
      <c r="B1" t="s">
        <v>22</v>
      </c>
      <c r="C1" t="s">
        <v>23</v>
      </c>
    </row>
    <row r="2" spans="1:3">
      <c r="A2" t="s">
        <v>24</v>
      </c>
      <c r="B2">
        <f>Inputs!B2*Inputs!B3</f>
        <v>0</v>
      </c>
      <c r="C2" t="s">
        <v>25</v>
      </c>
    </row>
    <row r="3" spans="1:3" s="1" customFormat="1">
      <c r="A3" s="1" t="s">
        <v>26</v>
      </c>
      <c r="B3" s="1">
        <f>Inputs!B4*B2</f>
        <v>0</v>
      </c>
      <c r="C3" s="1" t="s">
        <v>27</v>
      </c>
    </row>
    <row r="4" spans="1:3" s="3" customFormat="1">
      <c r="A4" s="3" t="s">
        <v>28</v>
      </c>
      <c r="B4" s="3">
        <f>Inputs!B5*B3</f>
        <v>0</v>
      </c>
      <c r="C4" s="3" t="s">
        <v>29</v>
      </c>
    </row>
    <row r="5" spans="1:3" s="3" customFormat="1">
      <c r="A5" s="3" t="s">
        <v>30</v>
      </c>
      <c r="B5" s="3">
        <f>B3-B4</f>
        <v>0</v>
      </c>
      <c r="C5" s="3" t="s">
        <v>31</v>
      </c>
    </row>
    <row r="6" spans="1:3" s="3" customFormat="1">
      <c r="A6" s="3" t="s">
        <v>32</v>
      </c>
      <c r="B6" s="3">
        <f>Inputs!B6+Inputs!B7</f>
        <v>0</v>
      </c>
      <c r="C6" s="3" t="s">
        <v>33</v>
      </c>
    </row>
    <row r="7" spans="1:3" s="3" customFormat="1">
      <c r="A7" s="3" t="s">
        <v>34</v>
      </c>
      <c r="B7" s="3">
        <f>B5-B6</f>
        <v>0</v>
      </c>
      <c r="C7" s="3" t="s">
        <v>35</v>
      </c>
    </row>
    <row r="8" spans="1:3" s="3" customFormat="1">
      <c r="A8" s="3" t="s">
        <v>36</v>
      </c>
      <c r="B8" s="3">
        <f>B7/Inputs!B2</f>
        <v>0</v>
      </c>
      <c r="C8" s="3" t="s">
        <v>37</v>
      </c>
    </row>
    <row r="9" spans="1:3" s="3" customFormat="1">
      <c r="A9" s="3" t="s">
        <v>38</v>
      </c>
      <c r="B9" s="3">
        <f>(Inputs!B6+Inputs!B7)/(Inputs!B4*(Inputs!B3)-(Inputs!B5*Inputs!B4*(Inputs!B3)))</f>
        <v>0</v>
      </c>
      <c r="C9" s="3" t="s">
        <v>39</v>
      </c>
    </row>
    <row r="10" spans="1:3" s="1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1" width="16.7109375" customWidth="1"/>
    <col min="2" max="2" width="18.7109375" style="3" customWidth="1"/>
  </cols>
  <sheetData>
    <row r="1" spans="1:2">
      <c r="A1" s="4" t="s">
        <v>3</v>
      </c>
      <c r="B1" s="3" t="s">
        <v>34</v>
      </c>
    </row>
    <row r="2" spans="1:2">
      <c r="A2">
        <v>100</v>
      </c>
      <c r="B2" s="3">
        <f>(Inputs!$B$4*(A2*Inputs!$B$3))-(Inputs!$B$5*(Inputs!$B$4*(A2*Inputs!$B$3)))-(Inputs!$B$6+Inputs!$B$7)</f>
        <v>0</v>
      </c>
    </row>
    <row r="3" spans="1:2">
      <c r="A3">
        <v>200</v>
      </c>
      <c r="B3" s="3">
        <f>(Inputs!$B$4*(A3*Inputs!$B$3))-(Inputs!$B$5*(Inputs!$B$4*(A3*Inputs!$B$3)))-(Inputs!$B$6+Inputs!$B$7)</f>
        <v>0</v>
      </c>
    </row>
    <row r="4" spans="1:2">
      <c r="A4">
        <v>300</v>
      </c>
      <c r="B4" s="3">
        <f>(Inputs!$B$4*(A4*Inputs!$B$3))-(Inputs!$B$5*(Inputs!$B$4*(A4*Inputs!$B$3)))-(Inputs!$B$6+Inputs!$B$7)</f>
        <v>0</v>
      </c>
    </row>
    <row r="5" spans="1:2">
      <c r="A5">
        <v>400</v>
      </c>
      <c r="B5" s="3">
        <f>(Inputs!$B$4*(A5*Inputs!$B$3))-(Inputs!$B$5*(Inputs!$B$4*(A5*Inputs!$B$3)))-(Inputs!$B$6+Inputs!$B$7)</f>
        <v>0</v>
      </c>
    </row>
    <row r="6" spans="1:2">
      <c r="A6">
        <v>500</v>
      </c>
      <c r="B6" s="3">
        <f>(Inputs!$B$4*(A6*Inputs!$B$3))-(Inputs!$B$5*(Inputs!$B$4*(A6*Inputs!$B$3)))-(Inputs!$B$6+Inputs!$B$7)</f>
        <v>0</v>
      </c>
    </row>
    <row r="7" spans="1:2">
      <c r="A7">
        <v>600</v>
      </c>
      <c r="B7" s="3">
        <f>(Inputs!$B$4*(A7*Inputs!$B$3))-(Inputs!$B$5*(Inputs!$B$4*(A7*Inputs!$B$3)))-(Inputs!$B$6+Inputs!$B$7)</f>
        <v>0</v>
      </c>
    </row>
    <row r="8" spans="1:2">
      <c r="A8">
        <v>700</v>
      </c>
      <c r="B8" s="3">
        <f>(Inputs!$B$4*(A8*Inputs!$B$3))-(Inputs!$B$5*(Inputs!$B$4*(A8*Inputs!$B$3)))-(Inputs!$B$6+Inputs!$B$7)</f>
        <v>0</v>
      </c>
    </row>
    <row r="9" spans="1:2">
      <c r="A9">
        <v>800</v>
      </c>
      <c r="B9" s="3">
        <f>(Inputs!$B$4*(A9*Inputs!$B$3))-(Inputs!$B$5*(Inputs!$B$4*(A9*Inputs!$B$3)))-(Inputs!$B$6+Inputs!$B$7)</f>
        <v>0</v>
      </c>
    </row>
    <row r="10" spans="1:2">
      <c r="A10">
        <v>900</v>
      </c>
      <c r="B10" s="3">
        <f>(Inputs!$B$4*(A10*Inputs!$B$3))-(Inputs!$B$5*(Inputs!$B$4*(A10*Inputs!$B$3)))-(Inputs!$B$6+Inputs!$B$7)</f>
        <v>0</v>
      </c>
    </row>
    <row r="11" spans="1:2">
      <c r="A11">
        <v>1000</v>
      </c>
      <c r="B11" s="3">
        <f>(Inputs!$B$4*(A11*Inputs!$B$3))-(Inputs!$B$5*(Inputs!$B$4*(A11*Inputs!$B$3)))-(Inputs!$B$6+Inputs!$B$7)</f>
        <v>0</v>
      </c>
    </row>
    <row r="12" spans="1:2">
      <c r="A12">
        <v>1100</v>
      </c>
      <c r="B12" s="3">
        <f>(Inputs!$B$4*(A12*Inputs!$B$3))-(Inputs!$B$5*(Inputs!$B$4*(A12*Inputs!$B$3)))-(Inputs!$B$6+Inputs!$B$7)</f>
        <v>0</v>
      </c>
    </row>
    <row r="13" spans="1:2">
      <c r="A13">
        <v>1200</v>
      </c>
      <c r="B13" s="3">
        <f>(Inputs!$B$4*(A13*Inputs!$B$3))-(Inputs!$B$5*(Inputs!$B$4*(A13*Inputs!$B$3)))-(Inputs!$B$6+Inputs!$B$7)</f>
        <v>0</v>
      </c>
    </row>
    <row r="14" spans="1:2">
      <c r="A14">
        <v>1300</v>
      </c>
      <c r="B14" s="3">
        <f>(Inputs!$B$4*(A14*Inputs!$B$3))-(Inputs!$B$5*(Inputs!$B$4*(A14*Inputs!$B$3)))-(Inputs!$B$6+Inputs!$B$7)</f>
        <v>0</v>
      </c>
    </row>
    <row r="15" spans="1:2">
      <c r="A15">
        <v>1400</v>
      </c>
      <c r="B15" s="3">
        <f>(Inputs!$B$4*(A15*Inputs!$B$3))-(Inputs!$B$5*(Inputs!$B$4*(A15*Inputs!$B$3)))-(Inputs!$B$6+Inputs!$B$7)</f>
        <v>0</v>
      </c>
    </row>
    <row r="16" spans="1:2">
      <c r="A16">
        <v>1500</v>
      </c>
      <c r="B16" s="3">
        <f>(Inputs!$B$4*(A16*Inputs!$B$3))-(Inputs!$B$5*(Inputs!$B$4*(A16*Inputs!$B$3)))-(Inputs!$B$6+Inputs!$B$7)</f>
        <v>0</v>
      </c>
    </row>
    <row r="17" spans="1:2">
      <c r="A17">
        <v>1600</v>
      </c>
      <c r="B17" s="3">
        <f>(Inputs!$B$4*(A17*Inputs!$B$3))-(Inputs!$B$5*(Inputs!$B$4*(A17*Inputs!$B$3)))-(Inputs!$B$6+Inputs!$B$7)</f>
        <v>0</v>
      </c>
    </row>
    <row r="18" spans="1:2">
      <c r="A18">
        <v>1700</v>
      </c>
      <c r="B18" s="3">
        <f>(Inputs!$B$4*(A18*Inputs!$B$3))-(Inputs!$B$5*(Inputs!$B$4*(A18*Inputs!$B$3)))-(Inputs!$B$6+Inputs!$B$7)</f>
        <v>0</v>
      </c>
    </row>
    <row r="19" spans="1:2">
      <c r="A19">
        <v>1800</v>
      </c>
      <c r="B19" s="3">
        <f>(Inputs!$B$4*(A19*Inputs!$B$3))-(Inputs!$B$5*(Inputs!$B$4*(A19*Inputs!$B$3)))-(Inputs!$B$6+Inputs!$B$7)</f>
        <v>0</v>
      </c>
    </row>
    <row r="20" spans="1:2">
      <c r="A20">
        <v>1900</v>
      </c>
      <c r="B20" s="3">
        <f>(Inputs!$B$4*(A20*Inputs!$B$3))-(Inputs!$B$5*(Inputs!$B$4*(A20*Inputs!$B$3)))-(Inputs!$B$6+Inputs!$B$7)</f>
        <v>0</v>
      </c>
    </row>
    <row r="21" spans="1:2">
      <c r="A21">
        <v>2000</v>
      </c>
      <c r="B21" s="3">
        <f>(Inputs!$B$4*(A21*Inputs!$B$3))-(Inputs!$B$5*(Inputs!$B$4*(A21*Inputs!$B$3)))-(Inputs!$B$6+Inputs!$B$7)</f>
        <v>0</v>
      </c>
    </row>
    <row r="22" spans="1:2">
      <c r="A22">
        <v>2100</v>
      </c>
      <c r="B22" s="3">
        <f>(Inputs!$B$4*(A22*Inputs!$B$3))-(Inputs!$B$5*(Inputs!$B$4*(A22*Inputs!$B$3)))-(Inputs!$B$6+Inputs!$B$7)</f>
        <v>0</v>
      </c>
    </row>
    <row r="23" spans="1:2">
      <c r="A23">
        <v>2200</v>
      </c>
      <c r="B23" s="3">
        <f>(Inputs!$B$4*(A23*Inputs!$B$3))-(Inputs!$B$5*(Inputs!$B$4*(A23*Inputs!$B$3)))-(Inputs!$B$6+Inputs!$B$7)</f>
        <v>0</v>
      </c>
    </row>
    <row r="24" spans="1:2">
      <c r="A24">
        <v>2300</v>
      </c>
      <c r="B24" s="3">
        <f>(Inputs!$B$4*(A24*Inputs!$B$3))-(Inputs!$B$5*(Inputs!$B$4*(A24*Inputs!$B$3)))-(Inputs!$B$6+Inputs!$B$7)</f>
        <v>0</v>
      </c>
    </row>
    <row r="25" spans="1:2">
      <c r="A25">
        <v>2400</v>
      </c>
      <c r="B25" s="3">
        <f>(Inputs!$B$4*(A25*Inputs!$B$3))-(Inputs!$B$5*(Inputs!$B$4*(A25*Inputs!$B$3)))-(Inputs!$B$6+Inputs!$B$7)</f>
        <v>0</v>
      </c>
    </row>
    <row r="26" spans="1:2">
      <c r="A26">
        <v>2500</v>
      </c>
      <c r="B26" s="3">
        <f>(Inputs!$B$4*(A26*Inputs!$B$3))-(Inputs!$B$5*(Inputs!$B$4*(A26*Inputs!$B$3)))-(Inputs!$B$6+Inputs!$B$7)</f>
        <v>0</v>
      </c>
    </row>
    <row r="27" spans="1:2">
      <c r="A27">
        <v>2600</v>
      </c>
      <c r="B27" s="3">
        <f>(Inputs!$B$4*(A27*Inputs!$B$3))-(Inputs!$B$5*(Inputs!$B$4*(A27*Inputs!$B$3)))-(Inputs!$B$6+Inputs!$B$7)</f>
        <v>0</v>
      </c>
    </row>
    <row r="28" spans="1:2">
      <c r="A28">
        <v>2700</v>
      </c>
      <c r="B28" s="3">
        <f>(Inputs!$B$4*(A28*Inputs!$B$3))-(Inputs!$B$5*(Inputs!$B$4*(A28*Inputs!$B$3)))-(Inputs!$B$6+Inputs!$B$7)</f>
        <v>0</v>
      </c>
    </row>
    <row r="29" spans="1:2">
      <c r="A29">
        <v>2800</v>
      </c>
      <c r="B29" s="3">
        <f>(Inputs!$B$4*(A29*Inputs!$B$3))-(Inputs!$B$5*(Inputs!$B$4*(A29*Inputs!$B$3)))-(Inputs!$B$6+Inputs!$B$7)</f>
        <v>0</v>
      </c>
    </row>
    <row r="30" spans="1:2">
      <c r="A30">
        <v>2900</v>
      </c>
      <c r="B30" s="3">
        <f>(Inputs!$B$4*(A30*Inputs!$B$3))-(Inputs!$B$5*(Inputs!$B$4*(A30*Inputs!$B$3)))-(Inputs!$B$6+Inputs!$B$7)</f>
        <v>0</v>
      </c>
    </row>
    <row r="31" spans="1:2">
      <c r="A31">
        <v>3000</v>
      </c>
      <c r="B31" s="3">
        <f>(Inputs!$B$4*(A31*Inputs!$B$3))-(Inputs!$B$5*(Inputs!$B$4*(A31*Inputs!$B$3)))-(Inputs!$B$6+Inputs!$B$7)</f>
        <v>0</v>
      </c>
    </row>
    <row r="32" spans="1:2">
      <c r="A32">
        <v>3100</v>
      </c>
      <c r="B32" s="3">
        <f>(Inputs!$B$4*(A32*Inputs!$B$3))-(Inputs!$B$5*(Inputs!$B$4*(A32*Inputs!$B$3)))-(Inputs!$B$6+Inputs!$B$7)</f>
        <v>0</v>
      </c>
    </row>
    <row r="33" spans="1:2">
      <c r="A33">
        <v>3200</v>
      </c>
      <c r="B33" s="3">
        <f>(Inputs!$B$4*(A33*Inputs!$B$3))-(Inputs!$B$5*(Inputs!$B$4*(A33*Inputs!$B$3)))-(Inputs!$B$6+Inputs!$B$7)</f>
        <v>0</v>
      </c>
    </row>
    <row r="34" spans="1:2">
      <c r="A34">
        <v>3300</v>
      </c>
      <c r="B34" s="3">
        <f>(Inputs!$B$4*(A34*Inputs!$B$3))-(Inputs!$B$5*(Inputs!$B$4*(A34*Inputs!$B$3)))-(Inputs!$B$6+Inputs!$B$7)</f>
        <v>0</v>
      </c>
    </row>
    <row r="35" spans="1:2">
      <c r="A35">
        <v>3400</v>
      </c>
      <c r="B35" s="3">
        <f>(Inputs!$B$4*(A35*Inputs!$B$3))-(Inputs!$B$5*(Inputs!$B$4*(A35*Inputs!$B$3)))-(Inputs!$B$6+Inputs!$B$7)</f>
        <v>0</v>
      </c>
    </row>
    <row r="36" spans="1:2">
      <c r="A36">
        <v>3500</v>
      </c>
      <c r="B36" s="3">
        <f>(Inputs!$B$4*(A36*Inputs!$B$3))-(Inputs!$B$5*(Inputs!$B$4*(A36*Inputs!$B$3)))-(Inputs!$B$6+Inputs!$B$7)</f>
        <v>0</v>
      </c>
    </row>
    <row r="37" spans="1:2">
      <c r="A37">
        <v>3600</v>
      </c>
      <c r="B37" s="3">
        <f>(Inputs!$B$4*(A37*Inputs!$B$3))-(Inputs!$B$5*(Inputs!$B$4*(A37*Inputs!$B$3)))-(Inputs!$B$6+Inputs!$B$7)</f>
        <v>0</v>
      </c>
    </row>
    <row r="38" spans="1:2">
      <c r="A38">
        <v>3700</v>
      </c>
      <c r="B38" s="3">
        <f>(Inputs!$B$4*(A38*Inputs!$B$3))-(Inputs!$B$5*(Inputs!$B$4*(A38*Inputs!$B$3)))-(Inputs!$B$6+Inputs!$B$7)</f>
        <v>0</v>
      </c>
    </row>
    <row r="39" spans="1:2">
      <c r="A39">
        <v>3800</v>
      </c>
      <c r="B39" s="3">
        <f>(Inputs!$B$4*(A39*Inputs!$B$3))-(Inputs!$B$5*(Inputs!$B$4*(A39*Inputs!$B$3)))-(Inputs!$B$6+Inputs!$B$7)</f>
        <v>0</v>
      </c>
    </row>
    <row r="40" spans="1:2">
      <c r="A40">
        <v>3900</v>
      </c>
      <c r="B40" s="3">
        <f>(Inputs!$B$4*(A40*Inputs!$B$3))-(Inputs!$B$5*(Inputs!$B$4*(A40*Inputs!$B$3)))-(Inputs!$B$6+Inputs!$B$7)</f>
        <v>0</v>
      </c>
    </row>
    <row r="41" spans="1:2">
      <c r="A41">
        <v>4000</v>
      </c>
      <c r="B41" s="3">
        <f>(Inputs!$B$4*(A41*Inputs!$B$3))-(Inputs!$B$5*(Inputs!$B$4*(A41*Inputs!$B$3)))-(Inputs!$B$6+Inputs!$B$7)</f>
        <v>0</v>
      </c>
    </row>
    <row r="42" spans="1:2">
      <c r="A42">
        <v>4100</v>
      </c>
      <c r="B42" s="3">
        <f>(Inputs!$B$4*(A42*Inputs!$B$3))-(Inputs!$B$5*(Inputs!$B$4*(A42*Inputs!$B$3)))-(Inputs!$B$6+Inputs!$B$7)</f>
        <v>0</v>
      </c>
    </row>
    <row r="43" spans="1:2">
      <c r="A43">
        <v>4200</v>
      </c>
      <c r="B43" s="3">
        <f>(Inputs!$B$4*(A43*Inputs!$B$3))-(Inputs!$B$5*(Inputs!$B$4*(A43*Inputs!$B$3)))-(Inputs!$B$6+Inputs!$B$7)</f>
        <v>0</v>
      </c>
    </row>
    <row r="44" spans="1:2">
      <c r="A44">
        <v>4300</v>
      </c>
      <c r="B44" s="3">
        <f>(Inputs!$B$4*(A44*Inputs!$B$3))-(Inputs!$B$5*(Inputs!$B$4*(A44*Inputs!$B$3)))-(Inputs!$B$6+Inputs!$B$7)</f>
        <v>0</v>
      </c>
    </row>
    <row r="45" spans="1:2">
      <c r="A45">
        <v>4400</v>
      </c>
      <c r="B45" s="3">
        <f>(Inputs!$B$4*(A45*Inputs!$B$3))-(Inputs!$B$5*(Inputs!$B$4*(A45*Inputs!$B$3)))-(Inputs!$B$6+Inputs!$B$7)</f>
        <v>0</v>
      </c>
    </row>
    <row r="46" spans="1:2">
      <c r="A46">
        <v>4500</v>
      </c>
      <c r="B46" s="3">
        <f>(Inputs!$B$4*(A46*Inputs!$B$3))-(Inputs!$B$5*(Inputs!$B$4*(A46*Inputs!$B$3)))-(Inputs!$B$6+Inputs!$B$7)</f>
        <v>0</v>
      </c>
    </row>
    <row r="47" spans="1:2">
      <c r="A47">
        <v>4600</v>
      </c>
      <c r="B47" s="3">
        <f>(Inputs!$B$4*(A47*Inputs!$B$3))-(Inputs!$B$5*(Inputs!$B$4*(A47*Inputs!$B$3)))-(Inputs!$B$6+Inputs!$B$7)</f>
        <v>0</v>
      </c>
    </row>
    <row r="48" spans="1:2">
      <c r="A48">
        <v>4700</v>
      </c>
      <c r="B48" s="3">
        <f>(Inputs!$B$4*(A48*Inputs!$B$3))-(Inputs!$B$5*(Inputs!$B$4*(A48*Inputs!$B$3)))-(Inputs!$B$6+Inputs!$B$7)</f>
        <v>0</v>
      </c>
    </row>
    <row r="49" spans="1:2">
      <c r="A49">
        <v>4800</v>
      </c>
      <c r="B49" s="3">
        <f>(Inputs!$B$4*(A49*Inputs!$B$3))-(Inputs!$B$5*(Inputs!$B$4*(A49*Inputs!$B$3)))-(Inputs!$B$6+Inputs!$B$7)</f>
        <v>0</v>
      </c>
    </row>
    <row r="50" spans="1:2">
      <c r="A50">
        <v>4900</v>
      </c>
      <c r="B50" s="3">
        <f>(Inputs!$B$4*(A50*Inputs!$B$3))-(Inputs!$B$5*(Inputs!$B$4*(A50*Inputs!$B$3)))-(Inputs!$B$6+Inputs!$B$7)</f>
        <v>0</v>
      </c>
    </row>
    <row r="51" spans="1:2">
      <c r="A51">
        <v>5000</v>
      </c>
      <c r="B51" s="3">
        <f>(Inputs!$B$4*(A51*Inputs!$B$3))-(Inputs!$B$5*(Inputs!$B$4*(A51*Inputs!$B$3)))-(Inputs!$B$6+Inputs!$B$7)</f>
        <v>0</v>
      </c>
    </row>
    <row r="52" spans="1:2">
      <c r="A52">
        <v>5100</v>
      </c>
      <c r="B52" s="3">
        <f>(Inputs!$B$4*(A52*Inputs!$B$3))-(Inputs!$B$5*(Inputs!$B$4*(A52*Inputs!$B$3)))-(Inputs!$B$6+Inputs!$B$7)</f>
        <v>0</v>
      </c>
    </row>
    <row r="53" spans="1:2">
      <c r="A53">
        <v>5200</v>
      </c>
      <c r="B53" s="3">
        <f>(Inputs!$B$4*(A53*Inputs!$B$3))-(Inputs!$B$5*(Inputs!$B$4*(A53*Inputs!$B$3)))-(Inputs!$B$6+Inputs!$B$7)</f>
        <v>0</v>
      </c>
    </row>
    <row r="54" spans="1:2">
      <c r="A54">
        <v>5300</v>
      </c>
      <c r="B54" s="3">
        <f>(Inputs!$B$4*(A54*Inputs!$B$3))-(Inputs!$B$5*(Inputs!$B$4*(A54*Inputs!$B$3)))-(Inputs!$B$6+Inputs!$B$7)</f>
        <v>0</v>
      </c>
    </row>
    <row r="55" spans="1:2">
      <c r="A55">
        <v>5400</v>
      </c>
      <c r="B55" s="3">
        <f>(Inputs!$B$4*(A55*Inputs!$B$3))-(Inputs!$B$5*(Inputs!$B$4*(A55*Inputs!$B$3)))-(Inputs!$B$6+Inputs!$B$7)</f>
        <v>0</v>
      </c>
    </row>
    <row r="56" spans="1:2">
      <c r="A56">
        <v>5500</v>
      </c>
      <c r="B56" s="3">
        <f>(Inputs!$B$4*(A56*Inputs!$B$3))-(Inputs!$B$5*(Inputs!$B$4*(A56*Inputs!$B$3)))-(Inputs!$B$6+Inputs!$B$7)</f>
        <v>0</v>
      </c>
    </row>
    <row r="57" spans="1:2">
      <c r="A57">
        <v>5600</v>
      </c>
      <c r="B57" s="3">
        <f>(Inputs!$B$4*(A57*Inputs!$B$3))-(Inputs!$B$5*(Inputs!$B$4*(A57*Inputs!$B$3)))-(Inputs!$B$6+Inputs!$B$7)</f>
        <v>0</v>
      </c>
    </row>
    <row r="58" spans="1:2">
      <c r="A58">
        <v>5700</v>
      </c>
      <c r="B58" s="3">
        <f>(Inputs!$B$4*(A58*Inputs!$B$3))-(Inputs!$B$5*(Inputs!$B$4*(A58*Inputs!$B$3)))-(Inputs!$B$6+Inputs!$B$7)</f>
        <v>0</v>
      </c>
    </row>
    <row r="59" spans="1:2">
      <c r="A59">
        <v>5800</v>
      </c>
      <c r="B59" s="3">
        <f>(Inputs!$B$4*(A59*Inputs!$B$3))-(Inputs!$B$5*(Inputs!$B$4*(A59*Inputs!$B$3)))-(Inputs!$B$6+Inputs!$B$7)</f>
        <v>0</v>
      </c>
    </row>
    <row r="60" spans="1:2">
      <c r="A60">
        <v>5900</v>
      </c>
      <c r="B60" s="3">
        <f>(Inputs!$B$4*(A60*Inputs!$B$3))-(Inputs!$B$5*(Inputs!$B$4*(A60*Inputs!$B$3)))-(Inputs!$B$6+Inputs!$B$7)</f>
        <v>0</v>
      </c>
    </row>
    <row r="61" spans="1:2">
      <c r="A61">
        <v>6000</v>
      </c>
      <c r="B61" s="3">
        <f>(Inputs!$B$4*(A61*Inputs!$B$3))-(Inputs!$B$5*(Inputs!$B$4*(A61*Inputs!$B$3)))-(Inputs!$B$6+Inputs!$B$7)</f>
        <v>0</v>
      </c>
    </row>
    <row r="62" spans="1:2">
      <c r="A62">
        <v>6100</v>
      </c>
      <c r="B62" s="3">
        <f>(Inputs!$B$4*(A62*Inputs!$B$3))-(Inputs!$B$5*(Inputs!$B$4*(A62*Inputs!$B$3)))-(Inputs!$B$6+Inputs!$B$7)</f>
        <v>0</v>
      </c>
    </row>
    <row r="63" spans="1:2">
      <c r="A63">
        <v>6200</v>
      </c>
      <c r="B63" s="3">
        <f>(Inputs!$B$4*(A63*Inputs!$B$3))-(Inputs!$B$5*(Inputs!$B$4*(A63*Inputs!$B$3)))-(Inputs!$B$6+Inputs!$B$7)</f>
        <v>0</v>
      </c>
    </row>
    <row r="64" spans="1:2">
      <c r="A64">
        <v>6300</v>
      </c>
      <c r="B64" s="3">
        <f>(Inputs!$B$4*(A64*Inputs!$B$3))-(Inputs!$B$5*(Inputs!$B$4*(A64*Inputs!$B$3)))-(Inputs!$B$6+Inputs!$B$7)</f>
        <v>0</v>
      </c>
    </row>
    <row r="65" spans="1:2">
      <c r="A65">
        <v>6400</v>
      </c>
      <c r="B65" s="3">
        <f>(Inputs!$B$4*(A65*Inputs!$B$3))-(Inputs!$B$5*(Inputs!$B$4*(A65*Inputs!$B$3)))-(Inputs!$B$6+Inputs!$B$7)</f>
        <v>0</v>
      </c>
    </row>
    <row r="66" spans="1:2">
      <c r="A66">
        <v>6500</v>
      </c>
      <c r="B66" s="3">
        <f>(Inputs!$B$4*(A66*Inputs!$B$3))-(Inputs!$B$5*(Inputs!$B$4*(A66*Inputs!$B$3)))-(Inputs!$B$6+Inputs!$B$7)</f>
        <v>0</v>
      </c>
    </row>
    <row r="67" spans="1:2">
      <c r="A67">
        <v>6600</v>
      </c>
      <c r="B67" s="3">
        <f>(Inputs!$B$4*(A67*Inputs!$B$3))-(Inputs!$B$5*(Inputs!$B$4*(A67*Inputs!$B$3)))-(Inputs!$B$6+Inputs!$B$7)</f>
        <v>0</v>
      </c>
    </row>
    <row r="68" spans="1:2">
      <c r="A68">
        <v>6700</v>
      </c>
      <c r="B68" s="3">
        <f>(Inputs!$B$4*(A68*Inputs!$B$3))-(Inputs!$B$5*(Inputs!$B$4*(A68*Inputs!$B$3)))-(Inputs!$B$6+Inputs!$B$7)</f>
        <v>0</v>
      </c>
    </row>
    <row r="69" spans="1:2">
      <c r="A69">
        <v>6800</v>
      </c>
      <c r="B69" s="3">
        <f>(Inputs!$B$4*(A69*Inputs!$B$3))-(Inputs!$B$5*(Inputs!$B$4*(A69*Inputs!$B$3)))-(Inputs!$B$6+Inputs!$B$7)</f>
        <v>0</v>
      </c>
    </row>
    <row r="70" spans="1:2">
      <c r="A70">
        <v>6900</v>
      </c>
      <c r="B70" s="3">
        <f>(Inputs!$B$4*(A70*Inputs!$B$3))-(Inputs!$B$5*(Inputs!$B$4*(A70*Inputs!$B$3)))-(Inputs!$B$6+Inputs!$B$7)</f>
        <v>0</v>
      </c>
    </row>
    <row r="71" spans="1:2">
      <c r="A71">
        <v>7000</v>
      </c>
      <c r="B71" s="3">
        <f>(Inputs!$B$4*(A71*Inputs!$B$3))-(Inputs!$B$5*(Inputs!$B$4*(A71*Inputs!$B$3)))-(Inputs!$B$6+Inputs!$B$7)</f>
        <v>0</v>
      </c>
    </row>
    <row r="72" spans="1:2">
      <c r="A72">
        <v>7100</v>
      </c>
      <c r="B72" s="3">
        <f>(Inputs!$B$4*(A72*Inputs!$B$3))-(Inputs!$B$5*(Inputs!$B$4*(A72*Inputs!$B$3)))-(Inputs!$B$6+Inputs!$B$7)</f>
        <v>0</v>
      </c>
    </row>
    <row r="73" spans="1:2">
      <c r="A73">
        <v>7200</v>
      </c>
      <c r="B73" s="3">
        <f>(Inputs!$B$4*(A73*Inputs!$B$3))-(Inputs!$B$5*(Inputs!$B$4*(A73*Inputs!$B$3)))-(Inputs!$B$6+Inputs!$B$7)</f>
        <v>0</v>
      </c>
    </row>
    <row r="74" spans="1:2">
      <c r="A74">
        <v>7300</v>
      </c>
      <c r="B74" s="3">
        <f>(Inputs!$B$4*(A74*Inputs!$B$3))-(Inputs!$B$5*(Inputs!$B$4*(A74*Inputs!$B$3)))-(Inputs!$B$6+Inputs!$B$7)</f>
        <v>0</v>
      </c>
    </row>
    <row r="75" spans="1:2">
      <c r="A75">
        <v>7400</v>
      </c>
      <c r="B75" s="3">
        <f>(Inputs!$B$4*(A75*Inputs!$B$3))-(Inputs!$B$5*(Inputs!$B$4*(A75*Inputs!$B$3)))-(Inputs!$B$6+Inputs!$B$7)</f>
        <v>0</v>
      </c>
    </row>
    <row r="76" spans="1:2">
      <c r="A76">
        <v>7500</v>
      </c>
      <c r="B76" s="3">
        <f>(Inputs!$B$4*(A76*Inputs!$B$3))-(Inputs!$B$5*(Inputs!$B$4*(A76*Inputs!$B$3)))-(Inputs!$B$6+Inputs!$B$7)</f>
        <v>0</v>
      </c>
    </row>
    <row r="77" spans="1:2">
      <c r="A77">
        <v>7600</v>
      </c>
      <c r="B77" s="3">
        <f>(Inputs!$B$4*(A77*Inputs!$B$3))-(Inputs!$B$5*(Inputs!$B$4*(A77*Inputs!$B$3)))-(Inputs!$B$6+Inputs!$B$7)</f>
        <v>0</v>
      </c>
    </row>
    <row r="78" spans="1:2">
      <c r="A78">
        <v>7700</v>
      </c>
      <c r="B78" s="3">
        <f>(Inputs!$B$4*(A78*Inputs!$B$3))-(Inputs!$B$5*(Inputs!$B$4*(A78*Inputs!$B$3)))-(Inputs!$B$6+Inputs!$B$7)</f>
        <v>0</v>
      </c>
    </row>
    <row r="79" spans="1:2">
      <c r="A79">
        <v>7800</v>
      </c>
      <c r="B79" s="3">
        <f>(Inputs!$B$4*(A79*Inputs!$B$3))-(Inputs!$B$5*(Inputs!$B$4*(A79*Inputs!$B$3)))-(Inputs!$B$6+Inputs!$B$7)</f>
        <v>0</v>
      </c>
    </row>
    <row r="80" spans="1:2">
      <c r="A80">
        <v>7900</v>
      </c>
      <c r="B80" s="3">
        <f>(Inputs!$B$4*(A80*Inputs!$B$3))-(Inputs!$B$5*(Inputs!$B$4*(A80*Inputs!$B$3)))-(Inputs!$B$6+Inputs!$B$7)</f>
        <v>0</v>
      </c>
    </row>
    <row r="81" spans="1:2">
      <c r="A81">
        <v>8000</v>
      </c>
      <c r="B81" s="3">
        <f>(Inputs!$B$4*(A81*Inputs!$B$3))-(Inputs!$B$5*(Inputs!$B$4*(A81*Inputs!$B$3)))-(Inputs!$B$6+Inputs!$B$7)</f>
        <v>0</v>
      </c>
    </row>
    <row r="82" spans="1:2">
      <c r="A82">
        <v>8100</v>
      </c>
      <c r="B82" s="3">
        <f>(Inputs!$B$4*(A82*Inputs!$B$3))-(Inputs!$B$5*(Inputs!$B$4*(A82*Inputs!$B$3)))-(Inputs!$B$6+Inputs!$B$7)</f>
        <v>0</v>
      </c>
    </row>
    <row r="83" spans="1:2">
      <c r="A83">
        <v>8200</v>
      </c>
      <c r="B83" s="3">
        <f>(Inputs!$B$4*(A83*Inputs!$B$3))-(Inputs!$B$5*(Inputs!$B$4*(A83*Inputs!$B$3)))-(Inputs!$B$6+Inputs!$B$7)</f>
        <v>0</v>
      </c>
    </row>
    <row r="84" spans="1:2">
      <c r="A84">
        <v>8300</v>
      </c>
      <c r="B84" s="3">
        <f>(Inputs!$B$4*(A84*Inputs!$B$3))-(Inputs!$B$5*(Inputs!$B$4*(A84*Inputs!$B$3)))-(Inputs!$B$6+Inputs!$B$7)</f>
        <v>0</v>
      </c>
    </row>
    <row r="85" spans="1:2">
      <c r="A85">
        <v>8400</v>
      </c>
      <c r="B85" s="3">
        <f>(Inputs!$B$4*(A85*Inputs!$B$3))-(Inputs!$B$5*(Inputs!$B$4*(A85*Inputs!$B$3)))-(Inputs!$B$6+Inputs!$B$7)</f>
        <v>0</v>
      </c>
    </row>
    <row r="86" spans="1:2">
      <c r="A86">
        <v>8500</v>
      </c>
      <c r="B86" s="3">
        <f>(Inputs!$B$4*(A86*Inputs!$B$3))-(Inputs!$B$5*(Inputs!$B$4*(A86*Inputs!$B$3)))-(Inputs!$B$6+Inputs!$B$7)</f>
        <v>0</v>
      </c>
    </row>
    <row r="87" spans="1:2">
      <c r="A87">
        <v>8600</v>
      </c>
      <c r="B87" s="3">
        <f>(Inputs!$B$4*(A87*Inputs!$B$3))-(Inputs!$B$5*(Inputs!$B$4*(A87*Inputs!$B$3)))-(Inputs!$B$6+Inputs!$B$7)</f>
        <v>0</v>
      </c>
    </row>
    <row r="88" spans="1:2">
      <c r="A88">
        <v>8700</v>
      </c>
      <c r="B88" s="3">
        <f>(Inputs!$B$4*(A88*Inputs!$B$3))-(Inputs!$B$5*(Inputs!$B$4*(A88*Inputs!$B$3)))-(Inputs!$B$6+Inputs!$B$7)</f>
        <v>0</v>
      </c>
    </row>
    <row r="89" spans="1:2">
      <c r="A89">
        <v>8800</v>
      </c>
      <c r="B89" s="3">
        <f>(Inputs!$B$4*(A89*Inputs!$B$3))-(Inputs!$B$5*(Inputs!$B$4*(A89*Inputs!$B$3)))-(Inputs!$B$6+Inputs!$B$7)</f>
        <v>0</v>
      </c>
    </row>
    <row r="90" spans="1:2">
      <c r="A90">
        <v>8900</v>
      </c>
      <c r="B90" s="3">
        <f>(Inputs!$B$4*(A90*Inputs!$B$3))-(Inputs!$B$5*(Inputs!$B$4*(A90*Inputs!$B$3)))-(Inputs!$B$6+Inputs!$B$7)</f>
        <v>0</v>
      </c>
    </row>
    <row r="91" spans="1:2">
      <c r="A91">
        <v>9000</v>
      </c>
      <c r="B91" s="3">
        <f>(Inputs!$B$4*(A91*Inputs!$B$3))-(Inputs!$B$5*(Inputs!$B$4*(A91*Inputs!$B$3)))-(Inputs!$B$6+Inputs!$B$7)</f>
        <v>0</v>
      </c>
    </row>
    <row r="92" spans="1:2">
      <c r="A92">
        <v>9100</v>
      </c>
      <c r="B92" s="3">
        <f>(Inputs!$B$4*(A92*Inputs!$B$3))-(Inputs!$B$5*(Inputs!$B$4*(A92*Inputs!$B$3)))-(Inputs!$B$6+Inputs!$B$7)</f>
        <v>0</v>
      </c>
    </row>
    <row r="93" spans="1:2">
      <c r="A93">
        <v>9200</v>
      </c>
      <c r="B93" s="3">
        <f>(Inputs!$B$4*(A93*Inputs!$B$3))-(Inputs!$B$5*(Inputs!$B$4*(A93*Inputs!$B$3)))-(Inputs!$B$6+Inputs!$B$7)</f>
        <v>0</v>
      </c>
    </row>
    <row r="94" spans="1:2">
      <c r="A94">
        <v>9300</v>
      </c>
      <c r="B94" s="3">
        <f>(Inputs!$B$4*(A94*Inputs!$B$3))-(Inputs!$B$5*(Inputs!$B$4*(A94*Inputs!$B$3)))-(Inputs!$B$6+Inputs!$B$7)</f>
        <v>0</v>
      </c>
    </row>
    <row r="95" spans="1:2">
      <c r="A95">
        <v>9400</v>
      </c>
      <c r="B95" s="3">
        <f>(Inputs!$B$4*(A95*Inputs!$B$3))-(Inputs!$B$5*(Inputs!$B$4*(A95*Inputs!$B$3)))-(Inputs!$B$6+Inputs!$B$7)</f>
        <v>0</v>
      </c>
    </row>
    <row r="96" spans="1:2">
      <c r="A96">
        <v>9500</v>
      </c>
      <c r="B96" s="3">
        <f>(Inputs!$B$4*(A96*Inputs!$B$3))-(Inputs!$B$5*(Inputs!$B$4*(A96*Inputs!$B$3)))-(Inputs!$B$6+Inputs!$B$7)</f>
        <v>0</v>
      </c>
    </row>
    <row r="97" spans="1:2">
      <c r="A97">
        <v>9600</v>
      </c>
      <c r="B97" s="3">
        <f>(Inputs!$B$4*(A97*Inputs!$B$3))-(Inputs!$B$5*(Inputs!$B$4*(A97*Inputs!$B$3)))-(Inputs!$B$6+Inputs!$B$7)</f>
        <v>0</v>
      </c>
    </row>
    <row r="98" spans="1:2">
      <c r="A98">
        <v>9700</v>
      </c>
      <c r="B98" s="3">
        <f>(Inputs!$B$4*(A98*Inputs!$B$3))-(Inputs!$B$5*(Inputs!$B$4*(A98*Inputs!$B$3)))-(Inputs!$B$6+Inputs!$B$7)</f>
        <v>0</v>
      </c>
    </row>
    <row r="99" spans="1:2">
      <c r="A99">
        <v>9800</v>
      </c>
      <c r="B99" s="3">
        <f>(Inputs!$B$4*(A99*Inputs!$B$3))-(Inputs!$B$5*(Inputs!$B$4*(A99*Inputs!$B$3)))-(Inputs!$B$6+Inputs!$B$7)</f>
        <v>0</v>
      </c>
    </row>
    <row r="100" spans="1:2">
      <c r="A100">
        <v>9900</v>
      </c>
      <c r="B100" s="3">
        <f>(Inputs!$B$4*(A100*Inputs!$B$3))-(Inputs!$B$5*(Inputs!$B$4*(A100*Inputs!$B$3)))-(Inputs!$B$6+Inputs!$B$7)</f>
        <v>0</v>
      </c>
    </row>
    <row r="101" spans="1:2">
      <c r="A101">
        <v>10000</v>
      </c>
      <c r="B101" s="3">
        <f>(Inputs!$B$4*(A101*Inputs!$B$3))-(Inputs!$B$5*(Inputs!$B$4*(A101*Inputs!$B$3)))-(Inputs!$B$6+Inputs!$B$7)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Model</vt:lpstr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2025-10-22T05:46:31Z</dcterms:created>
  <dcterms:modified xsi:type="dcterms:W3CDTF">2025-10-22T05:46:31Z</dcterms:modified>
</cp:coreProperties>
</file>